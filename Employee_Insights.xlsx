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c16d3e48193ebf2/Desktop/datasciencewithai/excel/"/>
    </mc:Choice>
  </mc:AlternateContent>
  <xr:revisionPtr revIDLastSave="151" documentId="8_{67797AB5-68F4-4D8D-BBC0-B4ABA10758CE}" xr6:coauthVersionLast="47" xr6:coauthVersionMax="47" xr10:uidLastSave="{A029C2F4-5141-4A18-8CD9-B36809AA12D4}"/>
  <bookViews>
    <workbookView xWindow="-108" yWindow="-108" windowWidth="23256" windowHeight="13176" xr2:uid="{3EACF076-8367-4CC1-AB33-D247BCF12E30}"/>
  </bookViews>
  <sheets>
    <sheet name="Employees" sheetId="1" r:id="rId1"/>
    <sheet name="Analys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2" l="1" a="1"/>
  <c r="C6" i="2" s="1"/>
  <c r="C5" i="2" a="1"/>
  <c r="C5" i="2" s="1"/>
  <c r="C2" i="2"/>
  <c r="C3" i="2"/>
  <c r="C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<sst xmlns="http://schemas.openxmlformats.org/spreadsheetml/2006/main" count="201" uniqueCount="146">
  <si>
    <t>Employee ID</t>
  </si>
  <si>
    <t>First Name</t>
  </si>
  <si>
    <t>Last Name</t>
  </si>
  <si>
    <t>Department</t>
  </si>
  <si>
    <t>Hire Date</t>
  </si>
  <si>
    <t>Salary</t>
  </si>
  <si>
    <t>Full Time (Yes/No)</t>
  </si>
  <si>
    <t>Position</t>
  </si>
  <si>
    <t>E001</t>
  </si>
  <si>
    <t>James</t>
  </si>
  <si>
    <t>Anderson</t>
  </si>
  <si>
    <t>Sales</t>
  </si>
  <si>
    <t>Sales Associate</t>
  </si>
  <si>
    <t>Yes</t>
  </si>
  <si>
    <t>E002</t>
  </si>
  <si>
    <t>Maria</t>
  </si>
  <si>
    <t>Garcia</t>
  </si>
  <si>
    <t>Marketing</t>
  </si>
  <si>
    <t>Marketing Coordinator</t>
  </si>
  <si>
    <t>E003</t>
  </si>
  <si>
    <t>Robert</t>
  </si>
  <si>
    <t>Chen</t>
  </si>
  <si>
    <t>IT</t>
  </si>
  <si>
    <t>Software Engineer</t>
  </si>
  <si>
    <t>E004</t>
  </si>
  <si>
    <t>Linda</t>
  </si>
  <si>
    <t>Patel</t>
  </si>
  <si>
    <t>HR</t>
  </si>
  <si>
    <t>HR Manager</t>
  </si>
  <si>
    <t>E005</t>
  </si>
  <si>
    <t>Michael</t>
  </si>
  <si>
    <t>Brown</t>
  </si>
  <si>
    <t>Finance</t>
  </si>
  <si>
    <t>Financial Analyst</t>
  </si>
  <si>
    <t>E006</t>
  </si>
  <si>
    <t>Sarah</t>
  </si>
  <si>
    <t>Kim</t>
  </si>
  <si>
    <t>QA Tester</t>
  </si>
  <si>
    <t>E007</t>
  </si>
  <si>
    <t>David</t>
  </si>
  <si>
    <t>Wilson</t>
  </si>
  <si>
    <t>Operations</t>
  </si>
  <si>
    <t>Operations Manager</t>
  </si>
  <si>
    <t>E008</t>
  </si>
  <si>
    <t>Emily</t>
  </si>
  <si>
    <t>Davis</t>
  </si>
  <si>
    <t>Sales Manager</t>
  </si>
  <si>
    <t>E009</t>
  </si>
  <si>
    <t>John</t>
  </si>
  <si>
    <t>Martinez</t>
  </si>
  <si>
    <t>DevOps Engineer</t>
  </si>
  <si>
    <t>E010</t>
  </si>
  <si>
    <t>Jessica</t>
  </si>
  <si>
    <t>Lopez</t>
  </si>
  <si>
    <t>Content Writer</t>
  </si>
  <si>
    <t>No</t>
  </si>
  <si>
    <t>E011</t>
  </si>
  <si>
    <t>Daniel</t>
  </si>
  <si>
    <t>Nguyen</t>
  </si>
  <si>
    <t>Accountant</t>
  </si>
  <si>
    <t>E012</t>
  </si>
  <si>
    <t>Ashley</t>
  </si>
  <si>
    <t>Robinson</t>
  </si>
  <si>
    <t>Recruiter</t>
  </si>
  <si>
    <t>E013</t>
  </si>
  <si>
    <t>Christopher</t>
  </si>
  <si>
    <t>Clark</t>
  </si>
  <si>
    <t>Logistics Coordinator</t>
  </si>
  <si>
    <t>E014</t>
  </si>
  <si>
    <t>Amanda</t>
  </si>
  <si>
    <t>Rodriguez</t>
  </si>
  <si>
    <t>Systems Administrator</t>
  </si>
  <si>
    <t>E015</t>
  </si>
  <si>
    <t>Matthew</t>
  </si>
  <si>
    <t>Lewis</t>
  </si>
  <si>
    <t>E016</t>
  </si>
  <si>
    <t>Stephanie</t>
  </si>
  <si>
    <t>Walker</t>
  </si>
  <si>
    <t>SEO Specialist</t>
  </si>
  <si>
    <t>E017</t>
  </si>
  <si>
    <t>Andrew</t>
  </si>
  <si>
    <t>Hall</t>
  </si>
  <si>
    <t>Finance Manager</t>
  </si>
  <si>
    <t>E018</t>
  </si>
  <si>
    <t>Megan</t>
  </si>
  <si>
    <t>Allen</t>
  </si>
  <si>
    <t>HR Assistant</t>
  </si>
  <si>
    <t>E019</t>
  </si>
  <si>
    <t>Joshua</t>
  </si>
  <si>
    <t>Young</t>
  </si>
  <si>
    <t>E020</t>
  </si>
  <si>
    <t>Nicole</t>
  </si>
  <si>
    <t>King</t>
  </si>
  <si>
    <t>Warehouse Supervisor</t>
  </si>
  <si>
    <t>E021</t>
  </si>
  <si>
    <t>Ryan</t>
  </si>
  <si>
    <t>Wright</t>
  </si>
  <si>
    <t>Regional Sales Director</t>
  </si>
  <si>
    <t>E022</t>
  </si>
  <si>
    <t>Rachel</t>
  </si>
  <si>
    <t>Scott</t>
  </si>
  <si>
    <t>Marketing Manager</t>
  </si>
  <si>
    <t>E023</t>
  </si>
  <si>
    <t>Brandon</t>
  </si>
  <si>
    <t>Green</t>
  </si>
  <si>
    <t>Network Engineer</t>
  </si>
  <si>
    <t>E024</t>
  </si>
  <si>
    <t>Lauren</t>
  </si>
  <si>
    <t>Adams</t>
  </si>
  <si>
    <t>Junior Accountant</t>
  </si>
  <si>
    <t>E025</t>
  </si>
  <si>
    <t>Justin</t>
  </si>
  <si>
    <t>Baker</t>
  </si>
  <si>
    <t>Compensation Analyst</t>
  </si>
  <si>
    <t>E026</t>
  </si>
  <si>
    <t>Samantha</t>
  </si>
  <si>
    <t>Nelson</t>
  </si>
  <si>
    <t>Operations Analyst</t>
  </si>
  <si>
    <t>E027</t>
  </si>
  <si>
    <t>Kevin</t>
  </si>
  <si>
    <t>Carter</t>
  </si>
  <si>
    <t>IT Support Specialist</t>
  </si>
  <si>
    <t>E028</t>
  </si>
  <si>
    <t>Victoria</t>
  </si>
  <si>
    <t>Mitchell</t>
  </si>
  <si>
    <t>E029</t>
  </si>
  <si>
    <t>Tyler</t>
  </si>
  <si>
    <t>Perez</t>
  </si>
  <si>
    <t>Graphic Designer</t>
  </si>
  <si>
    <t>E030</t>
  </si>
  <si>
    <t>Hannah</t>
  </si>
  <si>
    <t>Roberts</t>
  </si>
  <si>
    <t>Payroll Specialist</t>
  </si>
  <si>
    <t>Question/Analysis Topic</t>
  </si>
  <si>
    <t>Excel Formula &amp; Result</t>
  </si>
  <si>
    <t>S.No</t>
  </si>
  <si>
    <t>Q1</t>
  </si>
  <si>
    <t>Q2</t>
  </si>
  <si>
    <t>Q3</t>
  </si>
  <si>
    <t>Q4</t>
  </si>
  <si>
    <t>Q5</t>
  </si>
  <si>
    <t>What is the overall median salary across the company?</t>
  </si>
  <si>
    <t>What is the total salary expense for full-time employees?</t>
  </si>
  <si>
    <t>How many employees were hired in the last 12 months?</t>
  </si>
  <si>
    <t>Which department has the highest average salary?</t>
  </si>
  <si>
    <t>Which position has the most employees?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</si>
</sst>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[$₹-4009]\ #,##0.00"/>
    <numFmt numFmtId="170" formatCode="dd\-mmm\-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/>
    <xf numFmtId="168" fontId="0" fillId="0" borderId="0" xfId="0" applyNumberFormat="1"/>
    <xf numFmtId="170" fontId="0" fillId="0" borderId="0" xfId="0" applyNumberFormat="1" applyAlignment="1">
      <alignment horizontal="center"/>
    </xf>
  </cellXfs>
  <cellStyles count="1">
    <cellStyle name="Normal" xfId="0" builtinId="0"/>
  </cellStyles>
  <dxfs count="6">
    <dxf>
      <numFmt numFmtId="170" formatCode="dd\-mmm\-yyyy"/>
      <alignment horizontal="center" vertical="bottom" textRotation="0" wrapText="0" indent="0" justifyLastLine="0" shrinkToFit="0" readingOrder="0"/>
    </dxf>
    <dxf>
      <numFmt numFmtId="168" formatCode="[$₹-4009]\ #,##0.00"/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7B7F4E-AAF7-4592-A182-029FFF28212C}" name="Table2" displayName="Table2" ref="A1:H31" totalsRowShown="0">
  <autoFilter ref="A1:H31" xr:uid="{A77B7F4E-AAF7-4592-A182-029FFF28212C}"/>
  <tableColumns count="8">
    <tableColumn id="1" xr3:uid="{FF91A6A6-2763-4929-BCB1-84E6ECEF98F7}" name="Employee ID"/>
    <tableColumn id="2" xr3:uid="{CA852297-8E10-4BCE-A44E-1D07EFEC8589}" name="First Name"/>
    <tableColumn id="3" xr3:uid="{5B98E24A-14EA-4B43-A43B-B41D6855832A}" name="Last Name"/>
    <tableColumn id="4" xr3:uid="{12A578D6-4809-49EE-A2F2-E864365EB635}" name="Department"/>
    <tableColumn id="5" xr3:uid="{30445FCC-B2B6-4709-92C0-79262AB7D292}" name="Position"/>
    <tableColumn id="6" xr3:uid="{F9587425-1D65-4656-BCC1-4BB2A44C609D}" name="Hire Date" dataDxfId="0"/>
    <tableColumn id="7" xr3:uid="{9E4FB4F0-F241-48A1-B746-6EA330B1ED9B}" name="Salary" dataDxfId="1"/>
    <tableColumn id="8" xr3:uid="{2BFB8ABC-7DE8-4875-898E-61CF639DAD21}" name="Full Time (Yes/No)"/>
  </tableColumns>
  <tableStyleInfo name="TableStyleDark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864F1C-CD6B-4146-8918-F4E2C284345B}" name="Table3" displayName="Table3" ref="A1:C6" totalsRowShown="0" headerRowDxfId="5">
  <autoFilter ref="A1:C6" xr:uid="{FC864F1C-CD6B-4146-8918-F4E2C284345B}"/>
  <tableColumns count="3">
    <tableColumn id="1" xr3:uid="{EF17AEC7-BBE2-4E2C-B5FC-5CA7141700B0}" name="S.No"/>
    <tableColumn id="2" xr3:uid="{E1AE6899-C284-48C5-969D-ED99033A1BF6}" name="Question/Analysis Topic" dataDxfId="4"/>
    <tableColumn id="3" xr3:uid="{DDECEB99-2BB3-40B2-9805-A85674281823}" name="Excel Formula &amp; Result" dataDxfId="3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  <wetp:taskpane dockstate="right" visibility="0" width="438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41ED8FE-8B85-417C-B036-864F8D570848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c6767c5-4185-44d2-a6be-c1043fa4fea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CE312E4-C00E-43D5-B6EE-FEB9906CBED6}">
  <we:reference id="wa200005502" version="1.0.0.13" store="en-US" storeType="OMEX"/>
  <we:alternateReferences>
    <we:reference id="WA200005502" version="1.0.0.13" store="" storeType="OMEX"/>
  </we:alternateReferences>
  <we:properties>
    <we:property name="docId" value="&quot;T8cRCbdsq3eFqBm18rHnm&quot;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5829D-8DCB-4502-BB32-C57E1C5CCD1E}">
  <dimension ref="A1:H31"/>
  <sheetViews>
    <sheetView tabSelected="1" zoomScale="96" workbookViewId="0">
      <pane ySplit="1" topLeftCell="A2" activePane="bottomLeft" state="frozen"/>
      <selection pane="bottomLeft" activeCell="I15" sqref="I15"/>
    </sheetView>
  </sheetViews>
  <sheetFormatPr defaultRowHeight="14.4" x14ac:dyDescent="0.3"/>
  <cols>
    <col min="1" max="1" width="14.33203125" bestFit="1" customWidth="1"/>
    <col min="2" max="2" width="12.6640625" bestFit="1" customWidth="1"/>
    <col min="3" max="3" width="12.44140625" bestFit="1" customWidth="1"/>
    <col min="4" max="4" width="13.88671875" bestFit="1" customWidth="1"/>
    <col min="5" max="5" width="20.6640625" bestFit="1" customWidth="1"/>
    <col min="6" max="6" width="12.33203125" bestFit="1" customWidth="1"/>
    <col min="7" max="7" width="11.88671875" bestFit="1" customWidth="1"/>
    <col min="8" max="8" width="19.441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7</v>
      </c>
      <c r="F1" t="s">
        <v>4</v>
      </c>
      <c r="G1" t="s">
        <v>5</v>
      </c>
      <c r="H1" t="s">
        <v>6</v>
      </c>
    </row>
    <row r="2" spans="1:8" x14ac:dyDescent="0.3">
      <c r="A2" t="s">
        <v>8</v>
      </c>
      <c r="B2" t="s">
        <v>9</v>
      </c>
      <c r="C2" t="s">
        <v>10</v>
      </c>
      <c r="D2" t="s">
        <v>11</v>
      </c>
      <c r="E2" t="s">
        <v>12</v>
      </c>
      <c r="F2" s="5">
        <v>43538</v>
      </c>
      <c r="G2" s="4">
        <v>48000</v>
      </c>
      <c r="H2" t="s">
        <v>13</v>
      </c>
    </row>
    <row r="3" spans="1:8" x14ac:dyDescent="0.3">
      <c r="A3" t="s">
        <v>14</v>
      </c>
      <c r="B3" t="s">
        <v>15</v>
      </c>
      <c r="C3" t="s">
        <v>16</v>
      </c>
      <c r="D3" t="s">
        <v>17</v>
      </c>
      <c r="E3" t="s">
        <v>18</v>
      </c>
      <c r="F3" s="5">
        <v>44034</v>
      </c>
      <c r="G3" s="4">
        <v>52000</v>
      </c>
      <c r="H3" t="s">
        <v>13</v>
      </c>
    </row>
    <row r="4" spans="1:8" x14ac:dyDescent="0.3">
      <c r="A4" t="s">
        <v>19</v>
      </c>
      <c r="B4" t="s">
        <v>20</v>
      </c>
      <c r="C4" t="s">
        <v>21</v>
      </c>
      <c r="D4" t="s">
        <v>22</v>
      </c>
      <c r="E4" t="s">
        <v>23</v>
      </c>
      <c r="F4" s="5">
        <v>43409</v>
      </c>
      <c r="G4" s="4">
        <v>85000</v>
      </c>
      <c r="H4" t="s">
        <v>13</v>
      </c>
    </row>
    <row r="5" spans="1:8" x14ac:dyDescent="0.3">
      <c r="A5" t="s">
        <v>24</v>
      </c>
      <c r="B5" t="s">
        <v>25</v>
      </c>
      <c r="C5" t="s">
        <v>26</v>
      </c>
      <c r="D5" t="s">
        <v>27</v>
      </c>
      <c r="E5" t="s">
        <v>28</v>
      </c>
      <c r="F5" s="5">
        <v>42418</v>
      </c>
      <c r="G5" s="4">
        <v>72000</v>
      </c>
      <c r="H5" t="s">
        <v>13</v>
      </c>
    </row>
    <row r="6" spans="1:8" x14ac:dyDescent="0.3">
      <c r="A6" t="s">
        <v>29</v>
      </c>
      <c r="B6" t="s">
        <v>30</v>
      </c>
      <c r="C6" t="s">
        <v>31</v>
      </c>
      <c r="D6" t="s">
        <v>32</v>
      </c>
      <c r="E6" t="s">
        <v>33</v>
      </c>
      <c r="F6" s="5">
        <v>44326</v>
      </c>
      <c r="G6" s="4">
        <v>61000</v>
      </c>
      <c r="H6" t="s">
        <v>13</v>
      </c>
    </row>
    <row r="7" spans="1:8" x14ac:dyDescent="0.3">
      <c r="A7" t="s">
        <v>34</v>
      </c>
      <c r="B7" t="s">
        <v>35</v>
      </c>
      <c r="C7" t="s">
        <v>36</v>
      </c>
      <c r="D7" t="s">
        <v>22</v>
      </c>
      <c r="E7" t="s">
        <v>37</v>
      </c>
      <c r="F7" s="5">
        <v>44570</v>
      </c>
      <c r="G7" s="4">
        <v>55000</v>
      </c>
      <c r="H7" t="s">
        <v>13</v>
      </c>
    </row>
    <row r="8" spans="1:8" x14ac:dyDescent="0.3">
      <c r="A8" t="s">
        <v>38</v>
      </c>
      <c r="B8" t="s">
        <v>39</v>
      </c>
      <c r="C8" t="s">
        <v>40</v>
      </c>
      <c r="D8" t="s">
        <v>41</v>
      </c>
      <c r="E8" t="s">
        <v>42</v>
      </c>
      <c r="F8" s="5">
        <v>43008</v>
      </c>
      <c r="G8" s="4">
        <v>78000</v>
      </c>
      <c r="H8" t="s">
        <v>13</v>
      </c>
    </row>
    <row r="9" spans="1:8" x14ac:dyDescent="0.3">
      <c r="A9" t="s">
        <v>43</v>
      </c>
      <c r="B9" t="s">
        <v>44</v>
      </c>
      <c r="C9" t="s">
        <v>45</v>
      </c>
      <c r="D9" t="s">
        <v>11</v>
      </c>
      <c r="E9" t="s">
        <v>46</v>
      </c>
      <c r="F9" s="5">
        <v>42167</v>
      </c>
      <c r="G9" s="4">
        <v>90000</v>
      </c>
      <c r="H9" t="s">
        <v>13</v>
      </c>
    </row>
    <row r="10" spans="1:8" x14ac:dyDescent="0.3">
      <c r="A10" t="s">
        <v>47</v>
      </c>
      <c r="B10" t="s">
        <v>48</v>
      </c>
      <c r="C10" t="s">
        <v>49</v>
      </c>
      <c r="D10" t="s">
        <v>22</v>
      </c>
      <c r="E10" t="s">
        <v>50</v>
      </c>
      <c r="F10" s="5">
        <v>44105</v>
      </c>
      <c r="G10" s="4">
        <v>88000</v>
      </c>
      <c r="H10" t="s">
        <v>13</v>
      </c>
    </row>
    <row r="11" spans="1:8" x14ac:dyDescent="0.3">
      <c r="A11" t="s">
        <v>51</v>
      </c>
      <c r="B11" t="s">
        <v>52</v>
      </c>
      <c r="C11" t="s">
        <v>53</v>
      </c>
      <c r="D11" t="s">
        <v>17</v>
      </c>
      <c r="E11" t="s">
        <v>54</v>
      </c>
      <c r="F11" s="5">
        <v>45012</v>
      </c>
      <c r="G11" s="4">
        <v>45000</v>
      </c>
      <c r="H11" t="s">
        <v>55</v>
      </c>
    </row>
    <row r="12" spans="1:8" x14ac:dyDescent="0.3">
      <c r="A12" t="s">
        <v>56</v>
      </c>
      <c r="B12" t="s">
        <v>57</v>
      </c>
      <c r="C12" t="s">
        <v>58</v>
      </c>
      <c r="D12" t="s">
        <v>32</v>
      </c>
      <c r="E12" t="s">
        <v>59</v>
      </c>
      <c r="F12" s="5">
        <v>43691</v>
      </c>
      <c r="G12" s="4">
        <v>58000</v>
      </c>
      <c r="H12" t="s">
        <v>13</v>
      </c>
    </row>
    <row r="13" spans="1:8" x14ac:dyDescent="0.3">
      <c r="A13" t="s">
        <v>60</v>
      </c>
      <c r="B13" t="s">
        <v>61</v>
      </c>
      <c r="C13" t="s">
        <v>62</v>
      </c>
      <c r="D13" t="s">
        <v>27</v>
      </c>
      <c r="E13" t="s">
        <v>63</v>
      </c>
      <c r="F13" s="5">
        <v>44533</v>
      </c>
      <c r="G13" s="4">
        <v>50000</v>
      </c>
      <c r="H13" t="s">
        <v>13</v>
      </c>
    </row>
    <row r="14" spans="1:8" x14ac:dyDescent="0.3">
      <c r="A14" t="s">
        <v>64</v>
      </c>
      <c r="B14" t="s">
        <v>65</v>
      </c>
      <c r="C14" t="s">
        <v>66</v>
      </c>
      <c r="D14" t="s">
        <v>41</v>
      </c>
      <c r="E14" t="s">
        <v>67</v>
      </c>
      <c r="F14" s="5">
        <v>43209</v>
      </c>
      <c r="G14" s="4">
        <v>47000</v>
      </c>
      <c r="H14" t="s">
        <v>13</v>
      </c>
    </row>
    <row r="15" spans="1:8" x14ac:dyDescent="0.3">
      <c r="A15" t="s">
        <v>68</v>
      </c>
      <c r="B15" t="s">
        <v>69</v>
      </c>
      <c r="C15" t="s">
        <v>70</v>
      </c>
      <c r="D15" t="s">
        <v>22</v>
      </c>
      <c r="E15" t="s">
        <v>71</v>
      </c>
      <c r="F15" s="5">
        <v>42576</v>
      </c>
      <c r="G15" s="4">
        <v>70000</v>
      </c>
      <c r="H15" t="s">
        <v>13</v>
      </c>
    </row>
    <row r="16" spans="1:8" x14ac:dyDescent="0.3">
      <c r="A16" t="s">
        <v>72</v>
      </c>
      <c r="B16" t="s">
        <v>73</v>
      </c>
      <c r="C16" t="s">
        <v>74</v>
      </c>
      <c r="D16" t="s">
        <v>11</v>
      </c>
      <c r="E16" t="s">
        <v>12</v>
      </c>
      <c r="F16" s="5">
        <v>44723</v>
      </c>
      <c r="G16" s="4">
        <v>46000</v>
      </c>
      <c r="H16" t="s">
        <v>55</v>
      </c>
    </row>
    <row r="17" spans="1:8" x14ac:dyDescent="0.3">
      <c r="A17" t="s">
        <v>75</v>
      </c>
      <c r="B17" t="s">
        <v>76</v>
      </c>
      <c r="C17" t="s">
        <v>77</v>
      </c>
      <c r="D17" t="s">
        <v>17</v>
      </c>
      <c r="E17" t="s">
        <v>78</v>
      </c>
      <c r="F17" s="5">
        <v>43889</v>
      </c>
      <c r="G17" s="4">
        <v>54000</v>
      </c>
      <c r="H17" t="s">
        <v>13</v>
      </c>
    </row>
    <row r="18" spans="1:8" x14ac:dyDescent="0.3">
      <c r="A18" t="s">
        <v>79</v>
      </c>
      <c r="B18" t="s">
        <v>80</v>
      </c>
      <c r="C18" t="s">
        <v>81</v>
      </c>
      <c r="D18" t="s">
        <v>32</v>
      </c>
      <c r="E18" t="s">
        <v>82</v>
      </c>
      <c r="F18" s="5">
        <v>41919</v>
      </c>
      <c r="G18" s="4">
        <v>95000</v>
      </c>
      <c r="H18" t="s">
        <v>13</v>
      </c>
    </row>
    <row r="19" spans="1:8" x14ac:dyDescent="0.3">
      <c r="A19" t="s">
        <v>83</v>
      </c>
      <c r="B19" t="s">
        <v>84</v>
      </c>
      <c r="C19" t="s">
        <v>85</v>
      </c>
      <c r="D19" t="s">
        <v>27</v>
      </c>
      <c r="E19" t="s">
        <v>86</v>
      </c>
      <c r="F19" s="5">
        <v>44942</v>
      </c>
      <c r="G19" s="4">
        <v>40000</v>
      </c>
      <c r="H19" t="s">
        <v>55</v>
      </c>
    </row>
    <row r="20" spans="1:8" x14ac:dyDescent="0.3">
      <c r="A20" t="s">
        <v>87</v>
      </c>
      <c r="B20" t="s">
        <v>88</v>
      </c>
      <c r="C20" t="s">
        <v>89</v>
      </c>
      <c r="D20" t="s">
        <v>22</v>
      </c>
      <c r="E20" t="s">
        <v>23</v>
      </c>
      <c r="F20" s="5">
        <v>43608</v>
      </c>
      <c r="G20" s="4">
        <v>82000</v>
      </c>
      <c r="H20" t="s">
        <v>13</v>
      </c>
    </row>
    <row r="21" spans="1:8" x14ac:dyDescent="0.3">
      <c r="A21" t="s">
        <v>90</v>
      </c>
      <c r="B21" t="s">
        <v>91</v>
      </c>
      <c r="C21" t="s">
        <v>92</v>
      </c>
      <c r="D21" t="s">
        <v>41</v>
      </c>
      <c r="E21" t="s">
        <v>93</v>
      </c>
      <c r="F21" s="5">
        <v>42803</v>
      </c>
      <c r="G21" s="4">
        <v>53000</v>
      </c>
      <c r="H21" t="s">
        <v>13</v>
      </c>
    </row>
    <row r="22" spans="1:8" x14ac:dyDescent="0.3">
      <c r="A22" t="s">
        <v>94</v>
      </c>
      <c r="B22" t="s">
        <v>95</v>
      </c>
      <c r="C22" t="s">
        <v>96</v>
      </c>
      <c r="D22" t="s">
        <v>11</v>
      </c>
      <c r="E22" t="s">
        <v>97</v>
      </c>
      <c r="F22" s="5">
        <v>41598</v>
      </c>
      <c r="G22" s="4">
        <v>105000</v>
      </c>
      <c r="H22" t="s">
        <v>13</v>
      </c>
    </row>
    <row r="23" spans="1:8" x14ac:dyDescent="0.3">
      <c r="A23" t="s">
        <v>98</v>
      </c>
      <c r="B23" t="s">
        <v>99</v>
      </c>
      <c r="C23" t="s">
        <v>100</v>
      </c>
      <c r="D23" t="s">
        <v>17</v>
      </c>
      <c r="E23" t="s">
        <v>101</v>
      </c>
      <c r="F23" s="5">
        <v>42615</v>
      </c>
      <c r="G23" s="4">
        <v>76000</v>
      </c>
      <c r="H23" t="s">
        <v>13</v>
      </c>
    </row>
    <row r="24" spans="1:8" x14ac:dyDescent="0.3">
      <c r="A24" t="s">
        <v>102</v>
      </c>
      <c r="B24" t="s">
        <v>103</v>
      </c>
      <c r="C24" t="s">
        <v>104</v>
      </c>
      <c r="D24" t="s">
        <v>22</v>
      </c>
      <c r="E24" t="s">
        <v>105</v>
      </c>
      <c r="F24" s="5">
        <v>44303</v>
      </c>
      <c r="G24" s="4">
        <v>74000</v>
      </c>
      <c r="H24" t="s">
        <v>13</v>
      </c>
    </row>
    <row r="25" spans="1:8" x14ac:dyDescent="0.3">
      <c r="A25" t="s">
        <v>106</v>
      </c>
      <c r="B25" t="s">
        <v>107</v>
      </c>
      <c r="C25" t="s">
        <v>108</v>
      </c>
      <c r="D25" t="s">
        <v>32</v>
      </c>
      <c r="E25" t="s">
        <v>109</v>
      </c>
      <c r="F25" s="5">
        <v>45117</v>
      </c>
      <c r="G25" s="4">
        <v>42000</v>
      </c>
      <c r="H25" t="s">
        <v>55</v>
      </c>
    </row>
    <row r="26" spans="1:8" x14ac:dyDescent="0.3">
      <c r="A26" t="s">
        <v>110</v>
      </c>
      <c r="B26" t="s">
        <v>111</v>
      </c>
      <c r="C26" t="s">
        <v>112</v>
      </c>
      <c r="D26" t="s">
        <v>27</v>
      </c>
      <c r="E26" t="s">
        <v>113</v>
      </c>
      <c r="F26" s="5">
        <v>43493</v>
      </c>
      <c r="G26" s="4">
        <v>60000</v>
      </c>
      <c r="H26" t="s">
        <v>13</v>
      </c>
    </row>
    <row r="27" spans="1:8" x14ac:dyDescent="0.3">
      <c r="A27" t="s">
        <v>114</v>
      </c>
      <c r="B27" t="s">
        <v>115</v>
      </c>
      <c r="C27" t="s">
        <v>116</v>
      </c>
      <c r="D27" t="s">
        <v>41</v>
      </c>
      <c r="E27" t="s">
        <v>117</v>
      </c>
      <c r="F27" s="5">
        <v>43956</v>
      </c>
      <c r="G27" s="4">
        <v>51000</v>
      </c>
      <c r="H27" t="s">
        <v>13</v>
      </c>
    </row>
    <row r="28" spans="1:8" x14ac:dyDescent="0.3">
      <c r="A28" t="s">
        <v>118</v>
      </c>
      <c r="B28" t="s">
        <v>119</v>
      </c>
      <c r="C28" t="s">
        <v>120</v>
      </c>
      <c r="D28" t="s">
        <v>22</v>
      </c>
      <c r="E28" t="s">
        <v>121</v>
      </c>
      <c r="F28" s="5">
        <v>44818</v>
      </c>
      <c r="G28" s="4">
        <v>44000</v>
      </c>
      <c r="H28" t="s">
        <v>13</v>
      </c>
    </row>
    <row r="29" spans="1:8" x14ac:dyDescent="0.3">
      <c r="A29" t="s">
        <v>122</v>
      </c>
      <c r="B29" t="s">
        <v>123</v>
      </c>
      <c r="C29" t="s">
        <v>124</v>
      </c>
      <c r="D29" t="s">
        <v>11</v>
      </c>
      <c r="E29" t="s">
        <v>12</v>
      </c>
      <c r="F29" s="5">
        <v>44530</v>
      </c>
      <c r="G29" s="4">
        <v>47000</v>
      </c>
      <c r="H29" t="s">
        <v>55</v>
      </c>
    </row>
    <row r="30" spans="1:8" x14ac:dyDescent="0.3">
      <c r="A30" t="s">
        <v>125</v>
      </c>
      <c r="B30" t="s">
        <v>126</v>
      </c>
      <c r="C30" t="s">
        <v>127</v>
      </c>
      <c r="D30" t="s">
        <v>17</v>
      </c>
      <c r="E30" t="s">
        <v>128</v>
      </c>
      <c r="F30" s="5">
        <v>43456</v>
      </c>
      <c r="G30" s="4">
        <v>49000</v>
      </c>
      <c r="H30" t="s">
        <v>13</v>
      </c>
    </row>
    <row r="31" spans="1:8" x14ac:dyDescent="0.3">
      <c r="A31" t="s">
        <v>129</v>
      </c>
      <c r="B31" t="s">
        <v>130</v>
      </c>
      <c r="C31" t="s">
        <v>131</v>
      </c>
      <c r="D31" t="s">
        <v>32</v>
      </c>
      <c r="E31" t="s">
        <v>132</v>
      </c>
      <c r="F31" s="5">
        <v>44062</v>
      </c>
      <c r="G31" s="4">
        <v>56000</v>
      </c>
      <c r="H31" t="s">
        <v>13</v>
      </c>
    </row>
  </sheetData>
  <conditionalFormatting sqref="G2:G31">
    <cfRule type="cellIs" dxfId="2" priority="1" operator="greaterThan">
      <formula>62433.33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9816C-E730-4788-B300-5CDEA89A01BC}">
  <dimension ref="A1:C7"/>
  <sheetViews>
    <sheetView workbookViewId="0">
      <selection activeCell="C16" sqref="C16"/>
    </sheetView>
  </sheetViews>
  <sheetFormatPr defaultRowHeight="14.4" x14ac:dyDescent="0.3"/>
  <cols>
    <col min="1" max="1" width="9.33203125" bestFit="1" customWidth="1"/>
    <col min="2" max="2" width="48.21875" bestFit="1" customWidth="1"/>
    <col min="3" max="3" width="22.44140625" bestFit="1" customWidth="1"/>
  </cols>
  <sheetData>
    <row r="1" spans="1:3" x14ac:dyDescent="0.3">
      <c r="A1" s="2" t="s">
        <v>135</v>
      </c>
      <c r="B1" s="2" t="s">
        <v>133</v>
      </c>
      <c r="C1" s="2" t="s">
        <v>134</v>
      </c>
    </row>
    <row r="2" spans="1:3" x14ac:dyDescent="0.3">
      <c r="A2" t="s">
        <v>136</v>
      </c>
      <c r="B2" s="3" t="s">
        <v>141</v>
      </c>
      <c r="C2" s="1">
        <f>MEDIAN(Employees!G2:G31)</f>
        <v>55500</v>
      </c>
    </row>
    <row r="3" spans="1:3" x14ac:dyDescent="0.3">
      <c r="A3" t="s">
        <v>137</v>
      </c>
      <c r="B3" s="3" t="s">
        <v>142</v>
      </c>
      <c r="C3" s="1">
        <f>SUMIFS(Employees!G2:G31,Employees!H2:H31,"Yes")</f>
        <v>1653000</v>
      </c>
    </row>
    <row r="4" spans="1:3" x14ac:dyDescent="0.3">
      <c r="A4" t="s">
        <v>138</v>
      </c>
      <c r="B4" s="3" t="s">
        <v>143</v>
      </c>
      <c r="C4" s="1">
        <f ca="1">COUNTIFS(Employees!F2:F31,"&gt;="&amp;EDATE(TODAY(),-12))</f>
        <v>0</v>
      </c>
    </row>
    <row r="5" spans="1:3" x14ac:dyDescent="0.3">
      <c r="A5" t="s">
        <v>139</v>
      </c>
      <c r="B5" s="3" t="s">
        <v>144</v>
      </c>
      <c r="C5" s="1" t="str" cm="1">
        <f t="array" ref="C5">_xlfn.XLOOKUP(MAX(AVERAGEIFS(Employees!G2:G31,Employees!D2:D31, _xlfn.UNIQUE(Employees!D2:D31))), AVERAGEIFS(Employees!G2:G31,Employees!D2:D31, _xlfn.UNIQUE(Employees!D2:D31)), _xlfn.UNIQUE(Employees!D2:D31))</f>
        <v>IT</v>
      </c>
    </row>
    <row r="6" spans="1:3" x14ac:dyDescent="0.3">
      <c r="A6" t="s">
        <v>140</v>
      </c>
      <c r="B6" s="3" t="s">
        <v>145</v>
      </c>
      <c r="C6" s="1" t="str" cm="1">
        <f t="array" ref="C6">_xlfn.XLOOKUP(MAX(COUNTIFS(Employees!E2:E31, _xlfn.UNIQUE(Employees!E2:E31))), COUNTIFS(Employees!E2:E31, _xlfn.UNIQUE(Employees!E2:E31)), _xlfn.UNIQUE(Employees!E2:E31))</f>
        <v>Sales Associate</v>
      </c>
    </row>
    <row r="7" spans="1:3" x14ac:dyDescent="0.3">
      <c r="C7" s="1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C47C09A-F4EE-4BAE-A506-144877EF48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Jeevana Mangineni</dc:creator>
  <cp:lastModifiedBy>Jeevana Mangineni</cp:lastModifiedBy>
  <dcterms:created xsi:type="dcterms:W3CDTF">2026-09-13T14:23:57Z</dcterms:created>
  <dcterms:modified xsi:type="dcterms:W3CDTF">2026-09-13T15:25:37Z</dcterms:modified>
</cp:coreProperties>
</file>