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16d3e48193ebf2/Desktop/datasciencewithai/excel/"/>
    </mc:Choice>
  </mc:AlternateContent>
  <xr:revisionPtr revIDLastSave="16" documentId="8_{DC1F3A8A-63D2-4CBC-87AC-9E521D764467}" xr6:coauthVersionLast="47" xr6:coauthVersionMax="47" xr10:uidLastSave="{200161F1-D277-49FD-8427-FDB4865A8CC1}"/>
  <bookViews>
    <workbookView xWindow="-108" yWindow="-108" windowWidth="23256" windowHeight="13176" tabRatio="500" activeTab="1" xr2:uid="{00000000-000D-0000-FFFF-FFFF00000000}"/>
  </bookViews>
  <sheets>
    <sheet name="Employees" sheetId="1" r:id="rId1"/>
    <sheet name="Analy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2" l="1"/>
  <c r="D44" i="2" s="1"/>
  <c r="A44" i="2"/>
  <c r="B43" i="2"/>
  <c r="D43" i="2" s="1"/>
  <c r="A43" i="2"/>
  <c r="B42" i="2"/>
  <c r="D42" i="2" s="1"/>
  <c r="A42" i="2"/>
  <c r="D41" i="2"/>
  <c r="C41" i="2"/>
  <c r="B41" i="2"/>
  <c r="A41" i="2"/>
  <c r="B40" i="2"/>
  <c r="D40" i="2" s="1"/>
  <c r="A40" i="2"/>
  <c r="B39" i="2"/>
  <c r="D39" i="2" s="1"/>
  <c r="A39" i="2"/>
  <c r="B38" i="2"/>
  <c r="D38" i="2" s="1"/>
  <c r="A38" i="2"/>
  <c r="D37" i="2"/>
  <c r="C37" i="2"/>
  <c r="B37" i="2"/>
  <c r="A37" i="2"/>
  <c r="B36" i="2"/>
  <c r="D36" i="2" s="1"/>
  <c r="A36" i="2"/>
  <c r="B35" i="2"/>
  <c r="D35" i="2" s="1"/>
  <c r="A35" i="2"/>
  <c r="B34" i="2"/>
  <c r="D34" i="2" s="1"/>
  <c r="A34" i="2"/>
  <c r="D33" i="2"/>
  <c r="C33" i="2"/>
  <c r="B33" i="2"/>
  <c r="A33" i="2"/>
  <c r="J32" i="2"/>
  <c r="C32" i="2"/>
  <c r="B32" i="2"/>
  <c r="D32" i="2" s="1"/>
  <c r="A32" i="2"/>
  <c r="J31" i="2"/>
  <c r="D31" i="2"/>
  <c r="C31" i="2"/>
  <c r="B31" i="2"/>
  <c r="A31" i="2"/>
  <c r="J30" i="2"/>
  <c r="B30" i="2"/>
  <c r="D30" i="2" s="1"/>
  <c r="A30" i="2"/>
  <c r="J29" i="2"/>
  <c r="D29" i="2"/>
  <c r="B29" i="2"/>
  <c r="C29" i="2" s="1"/>
  <c r="A29" i="2"/>
  <c r="J28" i="2"/>
  <c r="D28" i="2"/>
  <c r="C28" i="2"/>
  <c r="B28" i="2"/>
  <c r="A28" i="2"/>
  <c r="J27" i="2"/>
  <c r="D27" i="2"/>
  <c r="B27" i="2"/>
  <c r="C27" i="2" s="1"/>
  <c r="A27" i="2"/>
  <c r="J26" i="2"/>
  <c r="D26" i="2"/>
  <c r="C26" i="2"/>
  <c r="B26" i="2"/>
  <c r="A26" i="2"/>
  <c r="J25" i="2"/>
  <c r="D25" i="2"/>
  <c r="C25" i="2"/>
  <c r="B25" i="2"/>
  <c r="A25" i="2"/>
  <c r="J24" i="2"/>
  <c r="D24" i="2"/>
  <c r="C24" i="2"/>
  <c r="B24" i="2"/>
  <c r="A24" i="2"/>
  <c r="J23" i="2"/>
  <c r="B23" i="2"/>
  <c r="D23" i="2" s="1"/>
  <c r="A23" i="2"/>
  <c r="J22" i="2"/>
  <c r="B22" i="2"/>
  <c r="D22" i="2" s="1"/>
  <c r="A22" i="2"/>
  <c r="J21" i="2"/>
  <c r="B21" i="2"/>
  <c r="D21" i="2" s="1"/>
  <c r="A21" i="2"/>
  <c r="J20" i="2"/>
  <c r="B20" i="2"/>
  <c r="D20" i="2" s="1"/>
  <c r="A20" i="2"/>
  <c r="J19" i="2"/>
  <c r="D19" i="2"/>
  <c r="B19" i="2"/>
  <c r="C19" i="2" s="1"/>
  <c r="A19" i="2"/>
  <c r="J18" i="2"/>
  <c r="C6" i="2" s="1"/>
  <c r="B18" i="2"/>
  <c r="D18" i="2" s="1"/>
  <c r="A18" i="2"/>
  <c r="J17" i="2"/>
  <c r="B17" i="2"/>
  <c r="D17" i="2" s="1"/>
  <c r="A17" i="2"/>
  <c r="J16" i="2"/>
  <c r="D16" i="2"/>
  <c r="C16" i="2"/>
  <c r="B16" i="2"/>
  <c r="A16" i="2"/>
  <c r="J15" i="2"/>
  <c r="B15" i="2"/>
  <c r="D15" i="2" s="1"/>
  <c r="A15" i="2"/>
  <c r="J14" i="2"/>
  <c r="J13" i="2"/>
  <c r="J12" i="2"/>
  <c r="J11" i="2"/>
  <c r="G11" i="2"/>
  <c r="F11" i="2"/>
  <c r="J10" i="2"/>
  <c r="G10" i="2"/>
  <c r="F10" i="2"/>
  <c r="J9" i="2"/>
  <c r="G9" i="2"/>
  <c r="F9" i="2"/>
  <c r="J8" i="2"/>
  <c r="G8" i="2"/>
  <c r="F8" i="2"/>
  <c r="J7" i="2"/>
  <c r="G7" i="2"/>
  <c r="F7" i="2"/>
  <c r="C7" i="2"/>
  <c r="J6" i="2"/>
  <c r="G6" i="2"/>
  <c r="F6" i="2"/>
  <c r="C3" i="2" s="1"/>
  <c r="C5" i="2"/>
  <c r="C4" i="2"/>
  <c r="C30" i="2" l="1"/>
  <c r="C23" i="2"/>
  <c r="C20" i="2"/>
  <c r="C17" i="2"/>
  <c r="C34" i="2"/>
  <c r="C38" i="2"/>
  <c r="C42" i="2"/>
  <c r="C35" i="2"/>
  <c r="C39" i="2"/>
  <c r="C43" i="2"/>
  <c r="C21" i="2"/>
  <c r="C18" i="2"/>
  <c r="C15" i="2"/>
  <c r="C22" i="2"/>
  <c r="C36" i="2"/>
  <c r="C40" i="2"/>
  <c r="C44" i="2"/>
</calcChain>
</file>

<file path=xl/sharedStrings.xml><?xml version="1.0" encoding="utf-8"?>
<sst xmlns="http://schemas.openxmlformats.org/spreadsheetml/2006/main" count="217" uniqueCount="125">
  <si>
    <t>Employee ID</t>
  </si>
  <si>
    <t>First Name</t>
  </si>
  <si>
    <t>Last Name</t>
  </si>
  <si>
    <t>Department</t>
  </si>
  <si>
    <t>Position</t>
  </si>
  <si>
    <t>Hire Date</t>
  </si>
  <si>
    <t>Salary</t>
  </si>
  <si>
    <t>Full Time (Yes/No)</t>
  </si>
  <si>
    <t>James</t>
  </si>
  <si>
    <t>Anderson</t>
  </si>
  <si>
    <t>Sales</t>
  </si>
  <si>
    <t>Sales Associate</t>
  </si>
  <si>
    <t>Yes</t>
  </si>
  <si>
    <t>Maria</t>
  </si>
  <si>
    <t>Garcia</t>
  </si>
  <si>
    <t>Marketing</t>
  </si>
  <si>
    <t>Marketing Coordinator</t>
  </si>
  <si>
    <t>Robert</t>
  </si>
  <si>
    <t>Chen</t>
  </si>
  <si>
    <t>IT</t>
  </si>
  <si>
    <t>Software Engineer</t>
  </si>
  <si>
    <t>Linda</t>
  </si>
  <si>
    <t>Patel</t>
  </si>
  <si>
    <t>HR</t>
  </si>
  <si>
    <t>HR Manager</t>
  </si>
  <si>
    <t>Michael</t>
  </si>
  <si>
    <t>Brown</t>
  </si>
  <si>
    <t>Finance</t>
  </si>
  <si>
    <t>Financial Analyst</t>
  </si>
  <si>
    <t>Sarah</t>
  </si>
  <si>
    <t>Kim</t>
  </si>
  <si>
    <t>QA Tester</t>
  </si>
  <si>
    <t>David</t>
  </si>
  <si>
    <t>Wilson</t>
  </si>
  <si>
    <t>Operations</t>
  </si>
  <si>
    <t>Operations Manager</t>
  </si>
  <si>
    <t>Emily</t>
  </si>
  <si>
    <t>Davis</t>
  </si>
  <si>
    <t>Sales Manager</t>
  </si>
  <si>
    <t>John</t>
  </si>
  <si>
    <t>Martinez</t>
  </si>
  <si>
    <t>DevOps Engineer</t>
  </si>
  <si>
    <t>Jessica</t>
  </si>
  <si>
    <t>Lopez</t>
  </si>
  <si>
    <t>Content Writer</t>
  </si>
  <si>
    <t>No</t>
  </si>
  <si>
    <t>Daniel</t>
  </si>
  <si>
    <t>Nguyen</t>
  </si>
  <si>
    <t>Accountant</t>
  </si>
  <si>
    <t>Ashley</t>
  </si>
  <si>
    <t>Robinson</t>
  </si>
  <si>
    <t>Recruiter</t>
  </si>
  <si>
    <t>Christopher</t>
  </si>
  <si>
    <t>Clark</t>
  </si>
  <si>
    <t>Logistics Coordinator</t>
  </si>
  <si>
    <t>Amanda</t>
  </si>
  <si>
    <t>Rodriguez</t>
  </si>
  <si>
    <t>Systems Administrator</t>
  </si>
  <si>
    <t>Matthew</t>
  </si>
  <si>
    <t>Lewis</t>
  </si>
  <si>
    <t>Stephanie</t>
  </si>
  <si>
    <t>Walker</t>
  </si>
  <si>
    <t>SEO Specialist</t>
  </si>
  <si>
    <t>Andrew</t>
  </si>
  <si>
    <t>Hall</t>
  </si>
  <si>
    <t>Finance Manager</t>
  </si>
  <si>
    <t>Megan</t>
  </si>
  <si>
    <t>Allen</t>
  </si>
  <si>
    <t>HR Assistant</t>
  </si>
  <si>
    <t>Joshua</t>
  </si>
  <si>
    <t>Young</t>
  </si>
  <si>
    <t>Nicole</t>
  </si>
  <si>
    <t>King</t>
  </si>
  <si>
    <t>Warehouse Supervisor</t>
  </si>
  <si>
    <t>Ryan</t>
  </si>
  <si>
    <t>Wright</t>
  </si>
  <si>
    <t>Regional Sales Director</t>
  </si>
  <si>
    <t>Rachel</t>
  </si>
  <si>
    <t>Scott</t>
  </si>
  <si>
    <t>Marketing Manager</t>
  </si>
  <si>
    <t>Brandon</t>
  </si>
  <si>
    <t>Green</t>
  </si>
  <si>
    <t>Network Engineer</t>
  </si>
  <si>
    <t>Lauren</t>
  </si>
  <si>
    <t>Adams</t>
  </si>
  <si>
    <t>Junior Accountant</t>
  </si>
  <si>
    <t>Justin</t>
  </si>
  <si>
    <t>Baker</t>
  </si>
  <si>
    <t>Compensation Analyst</t>
  </si>
  <si>
    <t>Samantha</t>
  </si>
  <si>
    <t>Nelson</t>
  </si>
  <si>
    <t>Operations Analyst</t>
  </si>
  <si>
    <t>Kevin</t>
  </si>
  <si>
    <t>Carter</t>
  </si>
  <si>
    <t>IT Support Specialist</t>
  </si>
  <si>
    <t>Victoria</t>
  </si>
  <si>
    <t>Mitchell</t>
  </si>
  <si>
    <t>Tyler</t>
  </si>
  <si>
    <t>Perez</t>
  </si>
  <si>
    <t>Graphic Designer</t>
  </si>
  <si>
    <t>Hannah</t>
  </si>
  <si>
    <t>Roberts</t>
  </si>
  <si>
    <t>Payroll Specialist</t>
  </si>
  <si>
    <t>Analysis Questions</t>
  </si>
  <si>
    <t>#</t>
  </si>
  <si>
    <t>Question</t>
  </si>
  <si>
    <t>Answer (Formula)</t>
  </si>
  <si>
    <t>Q1</t>
  </si>
  <si>
    <t>Which department has the highest average salary?</t>
  </si>
  <si>
    <t>Q2</t>
  </si>
  <si>
    <t>How many employees were hired in the last 12 months?</t>
  </si>
  <si>
    <t>Helper: Avg Salary by Department</t>
  </si>
  <si>
    <t>Helper: Employee Count by Position</t>
  </si>
  <si>
    <t>Q3</t>
  </si>
  <si>
    <t>What is the total salary expense for full-time employees?</t>
  </si>
  <si>
    <t>Avg Salary</t>
  </si>
  <si>
    <t>Employee Count</t>
  </si>
  <si>
    <t>Count</t>
  </si>
  <si>
    <t>Q4</t>
  </si>
  <si>
    <t>Which position has the most employees?</t>
  </si>
  <si>
    <t>Q5</t>
  </si>
  <si>
    <t>What is the median salary across the company?</t>
  </si>
  <si>
    <t>Helper: Year of Hire &amp; Tenure per Employee</t>
  </si>
  <si>
    <t>Year Hired</t>
  </si>
  <si>
    <t>Tenure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</si>
</sst>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3"/>
      <name val="Cambria"/>
      <charset val="1"/>
    </font>
    <font>
      <b/>
      <sz val="11"/>
      <color rgb="FFFFFFFF"/>
      <name val="Cambria"/>
      <charset val="1"/>
    </font>
    <font>
      <b/>
      <sz val="12"/>
      <color rgb="FF305496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31" totalsRowShown="0">
  <autoFilter ref="A1:H31" xr:uid="{00000000-0009-0000-0100-000001000000}"/>
  <tableColumns count="8">
    <tableColumn id="1" xr3:uid="{00000000-0010-0000-0000-000001000000}" name="Employee ID"/>
    <tableColumn id="2" xr3:uid="{00000000-0010-0000-0000-000002000000}" name="First Name"/>
    <tableColumn id="3" xr3:uid="{00000000-0010-0000-0000-000003000000}" name="Last Name"/>
    <tableColumn id="4" xr3:uid="{00000000-0010-0000-0000-000004000000}" name="Department"/>
    <tableColumn id="5" xr3:uid="{00000000-0010-0000-0000-000005000000}" name="Position"/>
    <tableColumn id="6" xr3:uid="{00000000-0010-0000-0000-000006000000}" name="Hire Date"/>
    <tableColumn id="7" xr3:uid="{00000000-0010-0000-0000-000007000000}" name="Salary"/>
    <tableColumn id="8" xr3:uid="{00000000-0010-0000-0000-000008000000}" name="Full Time (Yes/No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="96" zoomScaleNormal="96" workbookViewId="0">
      <pane ySplit="1" topLeftCell="A2" activePane="bottomLeft" state="frozen"/>
      <selection pane="bottomLeft" activeCell="D22" sqref="D22"/>
    </sheetView>
  </sheetViews>
  <sheetFormatPr defaultColWidth="8.6640625" defaultRowHeight="14.4" x14ac:dyDescent="0.3"/>
  <cols>
    <col min="1" max="1" width="16.6640625" bestFit="1" customWidth="1"/>
    <col min="2" max="2" width="14.88671875" bestFit="1" customWidth="1"/>
    <col min="3" max="3" width="14.77734375" bestFit="1" customWidth="1"/>
    <col min="4" max="4" width="16.21875" bestFit="1" customWidth="1"/>
    <col min="5" max="5" width="20.6640625" customWidth="1"/>
    <col min="6" max="6" width="13.6640625" bestFit="1" customWidth="1"/>
    <col min="7" max="7" width="11" bestFit="1" customWidth="1"/>
    <col min="8" max="8" width="21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 s="2">
        <v>43538</v>
      </c>
      <c r="G2" s="3">
        <v>48000</v>
      </c>
      <c r="H2" t="s">
        <v>12</v>
      </c>
    </row>
    <row r="3" spans="1:8" x14ac:dyDescent="0.3">
      <c r="A3">
        <v>1002</v>
      </c>
      <c r="B3" t="s">
        <v>13</v>
      </c>
      <c r="C3" t="s">
        <v>14</v>
      </c>
      <c r="D3" t="s">
        <v>15</v>
      </c>
      <c r="E3" t="s">
        <v>16</v>
      </c>
      <c r="F3" s="2">
        <v>44034</v>
      </c>
      <c r="G3" s="3">
        <v>52000</v>
      </c>
      <c r="H3" t="s">
        <v>12</v>
      </c>
    </row>
    <row r="4" spans="1:8" x14ac:dyDescent="0.3">
      <c r="A4">
        <v>1003</v>
      </c>
      <c r="B4" t="s">
        <v>17</v>
      </c>
      <c r="C4" t="s">
        <v>18</v>
      </c>
      <c r="D4" t="s">
        <v>19</v>
      </c>
      <c r="E4" t="s">
        <v>20</v>
      </c>
      <c r="F4" s="2">
        <v>43409</v>
      </c>
      <c r="G4" s="3">
        <v>85000</v>
      </c>
      <c r="H4" t="s">
        <v>12</v>
      </c>
    </row>
    <row r="5" spans="1:8" x14ac:dyDescent="0.3">
      <c r="A5">
        <v>1004</v>
      </c>
      <c r="B5" t="s">
        <v>21</v>
      </c>
      <c r="C5" t="s">
        <v>22</v>
      </c>
      <c r="D5" t="s">
        <v>23</v>
      </c>
      <c r="E5" t="s">
        <v>24</v>
      </c>
      <c r="F5" s="2">
        <v>42418</v>
      </c>
      <c r="G5" s="3">
        <v>72000</v>
      </c>
      <c r="H5" t="s">
        <v>12</v>
      </c>
    </row>
    <row r="6" spans="1:8" x14ac:dyDescent="0.3">
      <c r="A6">
        <v>1005</v>
      </c>
      <c r="B6" t="s">
        <v>25</v>
      </c>
      <c r="C6" t="s">
        <v>26</v>
      </c>
      <c r="D6" t="s">
        <v>27</v>
      </c>
      <c r="E6" t="s">
        <v>28</v>
      </c>
      <c r="F6" s="2">
        <v>44326</v>
      </c>
      <c r="G6" s="3">
        <v>61000</v>
      </c>
      <c r="H6" t="s">
        <v>12</v>
      </c>
    </row>
    <row r="7" spans="1:8" x14ac:dyDescent="0.3">
      <c r="A7">
        <v>1006</v>
      </c>
      <c r="B7" t="s">
        <v>29</v>
      </c>
      <c r="C7" t="s">
        <v>30</v>
      </c>
      <c r="D7" t="s">
        <v>19</v>
      </c>
      <c r="E7" t="s">
        <v>31</v>
      </c>
      <c r="F7" s="2">
        <v>44570</v>
      </c>
      <c r="G7" s="3">
        <v>55000</v>
      </c>
      <c r="H7" t="s">
        <v>12</v>
      </c>
    </row>
    <row r="8" spans="1:8" x14ac:dyDescent="0.3">
      <c r="A8">
        <v>1007</v>
      </c>
      <c r="B8" t="s">
        <v>32</v>
      </c>
      <c r="C8" t="s">
        <v>33</v>
      </c>
      <c r="D8" t="s">
        <v>34</v>
      </c>
      <c r="E8" t="s">
        <v>35</v>
      </c>
      <c r="F8" s="2">
        <v>43008</v>
      </c>
      <c r="G8" s="3">
        <v>78000</v>
      </c>
      <c r="H8" t="s">
        <v>12</v>
      </c>
    </row>
    <row r="9" spans="1:8" x14ac:dyDescent="0.3">
      <c r="A9">
        <v>1008</v>
      </c>
      <c r="B9" t="s">
        <v>36</v>
      </c>
      <c r="C9" t="s">
        <v>37</v>
      </c>
      <c r="D9" t="s">
        <v>10</v>
      </c>
      <c r="E9" t="s">
        <v>38</v>
      </c>
      <c r="F9" s="2">
        <v>42167</v>
      </c>
      <c r="G9" s="3">
        <v>90000</v>
      </c>
      <c r="H9" t="s">
        <v>12</v>
      </c>
    </row>
    <row r="10" spans="1:8" x14ac:dyDescent="0.3">
      <c r="A10">
        <v>1009</v>
      </c>
      <c r="B10" t="s">
        <v>39</v>
      </c>
      <c r="C10" t="s">
        <v>40</v>
      </c>
      <c r="D10" t="s">
        <v>19</v>
      </c>
      <c r="E10" t="s">
        <v>41</v>
      </c>
      <c r="F10" s="2">
        <v>44105</v>
      </c>
      <c r="G10" s="3">
        <v>88000</v>
      </c>
      <c r="H10" t="s">
        <v>12</v>
      </c>
    </row>
    <row r="11" spans="1:8" x14ac:dyDescent="0.3">
      <c r="A11">
        <v>1010</v>
      </c>
      <c r="B11" t="s">
        <v>42</v>
      </c>
      <c r="C11" t="s">
        <v>43</v>
      </c>
      <c r="D11" t="s">
        <v>15</v>
      </c>
      <c r="E11" t="s">
        <v>44</v>
      </c>
      <c r="F11" s="2">
        <v>45933</v>
      </c>
      <c r="G11" s="3">
        <v>45000</v>
      </c>
      <c r="H11" t="s">
        <v>45</v>
      </c>
    </row>
    <row r="12" spans="1:8" x14ac:dyDescent="0.3">
      <c r="A12">
        <v>1011</v>
      </c>
      <c r="B12" t="s">
        <v>46</v>
      </c>
      <c r="C12" t="s">
        <v>47</v>
      </c>
      <c r="D12" t="s">
        <v>27</v>
      </c>
      <c r="E12" t="s">
        <v>48</v>
      </c>
      <c r="F12" s="2">
        <v>43691</v>
      </c>
      <c r="G12" s="3">
        <v>58000</v>
      </c>
      <c r="H12" t="s">
        <v>12</v>
      </c>
    </row>
    <row r="13" spans="1:8" x14ac:dyDescent="0.3">
      <c r="A13">
        <v>1012</v>
      </c>
      <c r="B13" t="s">
        <v>49</v>
      </c>
      <c r="C13" t="s">
        <v>50</v>
      </c>
      <c r="D13" t="s">
        <v>23</v>
      </c>
      <c r="E13" t="s">
        <v>51</v>
      </c>
      <c r="F13" s="2">
        <v>44533</v>
      </c>
      <c r="G13" s="3">
        <v>50000</v>
      </c>
      <c r="H13" t="s">
        <v>12</v>
      </c>
    </row>
    <row r="14" spans="1:8" x14ac:dyDescent="0.3">
      <c r="A14">
        <v>1013</v>
      </c>
      <c r="B14" t="s">
        <v>52</v>
      </c>
      <c r="C14" t="s">
        <v>53</v>
      </c>
      <c r="D14" t="s">
        <v>34</v>
      </c>
      <c r="E14" t="s">
        <v>54</v>
      </c>
      <c r="F14" s="2">
        <v>43209</v>
      </c>
      <c r="G14" s="3">
        <v>47000</v>
      </c>
      <c r="H14" t="s">
        <v>12</v>
      </c>
    </row>
    <row r="15" spans="1:8" x14ac:dyDescent="0.3">
      <c r="A15">
        <v>1014</v>
      </c>
      <c r="B15" t="s">
        <v>55</v>
      </c>
      <c r="C15" t="s">
        <v>56</v>
      </c>
      <c r="D15" t="s">
        <v>19</v>
      </c>
      <c r="E15" t="s">
        <v>57</v>
      </c>
      <c r="F15" s="2">
        <v>42576</v>
      </c>
      <c r="G15" s="3">
        <v>70000</v>
      </c>
      <c r="H15" t="s">
        <v>12</v>
      </c>
    </row>
    <row r="16" spans="1:8" x14ac:dyDescent="0.3">
      <c r="A16">
        <v>1015</v>
      </c>
      <c r="B16" t="s">
        <v>58</v>
      </c>
      <c r="C16" t="s">
        <v>59</v>
      </c>
      <c r="D16" t="s">
        <v>10</v>
      </c>
      <c r="E16" t="s">
        <v>11</v>
      </c>
      <c r="F16" s="2">
        <v>44723</v>
      </c>
      <c r="G16" s="3">
        <v>46000</v>
      </c>
      <c r="H16" t="s">
        <v>45</v>
      </c>
    </row>
    <row r="17" spans="1:8" x14ac:dyDescent="0.3">
      <c r="A17">
        <v>1016</v>
      </c>
      <c r="B17" t="s">
        <v>60</v>
      </c>
      <c r="C17" t="s">
        <v>61</v>
      </c>
      <c r="D17" t="s">
        <v>15</v>
      </c>
      <c r="E17" t="s">
        <v>62</v>
      </c>
      <c r="F17" s="2">
        <v>43889</v>
      </c>
      <c r="G17" s="3">
        <v>54000</v>
      </c>
      <c r="H17" t="s">
        <v>12</v>
      </c>
    </row>
    <row r="18" spans="1:8" x14ac:dyDescent="0.3">
      <c r="A18">
        <v>1017</v>
      </c>
      <c r="B18" t="s">
        <v>63</v>
      </c>
      <c r="C18" t="s">
        <v>64</v>
      </c>
      <c r="D18" t="s">
        <v>27</v>
      </c>
      <c r="E18" t="s">
        <v>65</v>
      </c>
      <c r="F18" s="2">
        <v>46067</v>
      </c>
      <c r="G18" s="3">
        <v>95000</v>
      </c>
      <c r="H18" t="s">
        <v>12</v>
      </c>
    </row>
    <row r="19" spans="1:8" x14ac:dyDescent="0.3">
      <c r="A19">
        <v>1018</v>
      </c>
      <c r="B19" t="s">
        <v>66</v>
      </c>
      <c r="C19" t="s">
        <v>67</v>
      </c>
      <c r="D19" t="s">
        <v>23</v>
      </c>
      <c r="E19" t="s">
        <v>68</v>
      </c>
      <c r="F19" s="2">
        <v>44942</v>
      </c>
      <c r="G19" s="3">
        <v>40000</v>
      </c>
      <c r="H19" t="s">
        <v>45</v>
      </c>
    </row>
    <row r="20" spans="1:8" x14ac:dyDescent="0.3">
      <c r="A20">
        <v>1019</v>
      </c>
      <c r="B20" t="s">
        <v>69</v>
      </c>
      <c r="C20" t="s">
        <v>70</v>
      </c>
      <c r="D20" t="s">
        <v>19</v>
      </c>
      <c r="E20" t="s">
        <v>20</v>
      </c>
      <c r="F20" s="2">
        <v>43608</v>
      </c>
      <c r="G20" s="3">
        <v>82000</v>
      </c>
      <c r="H20" t="s">
        <v>12</v>
      </c>
    </row>
    <row r="21" spans="1:8" x14ac:dyDescent="0.3">
      <c r="A21">
        <v>1020</v>
      </c>
      <c r="B21" t="s">
        <v>71</v>
      </c>
      <c r="C21" t="s">
        <v>72</v>
      </c>
      <c r="D21" t="s">
        <v>34</v>
      </c>
      <c r="E21" t="s">
        <v>73</v>
      </c>
      <c r="F21" s="2">
        <v>42803</v>
      </c>
      <c r="G21" s="3">
        <v>53000</v>
      </c>
      <c r="H21" t="s">
        <v>12</v>
      </c>
    </row>
    <row r="22" spans="1:8" x14ac:dyDescent="0.3">
      <c r="A22">
        <v>1021</v>
      </c>
      <c r="B22" t="s">
        <v>74</v>
      </c>
      <c r="C22" t="s">
        <v>75</v>
      </c>
      <c r="D22" t="s">
        <v>10</v>
      </c>
      <c r="E22" t="s">
        <v>76</v>
      </c>
      <c r="F22" s="2">
        <v>41598</v>
      </c>
      <c r="G22" s="3">
        <v>105000</v>
      </c>
      <c r="H22" t="s">
        <v>12</v>
      </c>
    </row>
    <row r="23" spans="1:8" x14ac:dyDescent="0.3">
      <c r="A23">
        <v>1022</v>
      </c>
      <c r="B23" t="s">
        <v>77</v>
      </c>
      <c r="C23" t="s">
        <v>78</v>
      </c>
      <c r="D23" t="s">
        <v>15</v>
      </c>
      <c r="E23" t="s">
        <v>79</v>
      </c>
      <c r="F23" s="2">
        <v>42615</v>
      </c>
      <c r="G23" s="3">
        <v>76000</v>
      </c>
      <c r="H23" t="s">
        <v>12</v>
      </c>
    </row>
    <row r="24" spans="1:8" x14ac:dyDescent="0.3">
      <c r="A24">
        <v>1023</v>
      </c>
      <c r="B24" t="s">
        <v>80</v>
      </c>
      <c r="C24" t="s">
        <v>81</v>
      </c>
      <c r="D24" t="s">
        <v>19</v>
      </c>
      <c r="E24" t="s">
        <v>82</v>
      </c>
      <c r="F24" s="2">
        <v>46174</v>
      </c>
      <c r="G24" s="3">
        <v>74000</v>
      </c>
      <c r="H24" t="s">
        <v>12</v>
      </c>
    </row>
    <row r="25" spans="1:8" x14ac:dyDescent="0.3">
      <c r="A25">
        <v>1024</v>
      </c>
      <c r="B25" t="s">
        <v>83</v>
      </c>
      <c r="C25" t="s">
        <v>84</v>
      </c>
      <c r="D25" t="s">
        <v>27</v>
      </c>
      <c r="E25" t="s">
        <v>85</v>
      </c>
      <c r="F25" s="2">
        <v>45117</v>
      </c>
      <c r="G25" s="3">
        <v>42000</v>
      </c>
      <c r="H25" t="s">
        <v>45</v>
      </c>
    </row>
    <row r="26" spans="1:8" x14ac:dyDescent="0.3">
      <c r="A26">
        <v>1025</v>
      </c>
      <c r="B26" t="s">
        <v>86</v>
      </c>
      <c r="C26" t="s">
        <v>87</v>
      </c>
      <c r="D26" t="s">
        <v>23</v>
      </c>
      <c r="E26" t="s">
        <v>88</v>
      </c>
      <c r="F26" s="2">
        <v>43493</v>
      </c>
      <c r="G26" s="3">
        <v>60000</v>
      </c>
      <c r="H26" t="s">
        <v>12</v>
      </c>
    </row>
    <row r="27" spans="1:8" x14ac:dyDescent="0.3">
      <c r="A27">
        <v>1026</v>
      </c>
      <c r="B27" t="s">
        <v>89</v>
      </c>
      <c r="C27" t="s">
        <v>90</v>
      </c>
      <c r="D27" t="s">
        <v>34</v>
      </c>
      <c r="E27" t="s">
        <v>91</v>
      </c>
      <c r="F27" s="2">
        <v>43956</v>
      </c>
      <c r="G27" s="3">
        <v>51000</v>
      </c>
      <c r="H27" t="s">
        <v>12</v>
      </c>
    </row>
    <row r="28" spans="1:8" x14ac:dyDescent="0.3">
      <c r="A28">
        <v>1027</v>
      </c>
      <c r="B28" t="s">
        <v>92</v>
      </c>
      <c r="C28" t="s">
        <v>93</v>
      </c>
      <c r="D28" t="s">
        <v>19</v>
      </c>
      <c r="E28" t="s">
        <v>94</v>
      </c>
      <c r="F28" s="2">
        <v>44818</v>
      </c>
      <c r="G28" s="3">
        <v>44000</v>
      </c>
      <c r="H28" t="s">
        <v>12</v>
      </c>
    </row>
    <row r="29" spans="1:8" x14ac:dyDescent="0.3">
      <c r="A29">
        <v>1028</v>
      </c>
      <c r="B29" t="s">
        <v>95</v>
      </c>
      <c r="C29" t="s">
        <v>96</v>
      </c>
      <c r="D29" t="s">
        <v>10</v>
      </c>
      <c r="E29" t="s">
        <v>11</v>
      </c>
      <c r="F29" s="2">
        <v>44530</v>
      </c>
      <c r="G29" s="3">
        <v>47000</v>
      </c>
      <c r="H29" t="s">
        <v>45</v>
      </c>
    </row>
    <row r="30" spans="1:8" x14ac:dyDescent="0.3">
      <c r="A30">
        <v>1029</v>
      </c>
      <c r="B30" t="s">
        <v>97</v>
      </c>
      <c r="C30" t="s">
        <v>98</v>
      </c>
      <c r="D30" t="s">
        <v>15</v>
      </c>
      <c r="E30" t="s">
        <v>99</v>
      </c>
      <c r="F30" s="2">
        <v>43456</v>
      </c>
      <c r="G30" s="3">
        <v>49000</v>
      </c>
      <c r="H30" t="s">
        <v>12</v>
      </c>
    </row>
    <row r="31" spans="1:8" x14ac:dyDescent="0.3">
      <c r="A31">
        <v>1030</v>
      </c>
      <c r="B31" t="s">
        <v>100</v>
      </c>
      <c r="C31" t="s">
        <v>101</v>
      </c>
      <c r="D31" t="s">
        <v>27</v>
      </c>
      <c r="E31" t="s">
        <v>102</v>
      </c>
      <c r="F31" s="2">
        <v>44062</v>
      </c>
      <c r="G31" s="3">
        <v>56000</v>
      </c>
      <c r="H31" t="s">
        <v>12</v>
      </c>
    </row>
  </sheetData>
  <conditionalFormatting sqref="G2:G31">
    <cfRule type="cellIs" dxfId="0" priority="2" operator="greaterThan">
      <formula>62433.33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zoomScaleNormal="100" workbookViewId="0">
      <pane ySplit="2" topLeftCell="A3" activePane="bottomLeft" state="frozen"/>
      <selection pane="bottomLeft" activeCell="A13" sqref="A13:D13"/>
    </sheetView>
  </sheetViews>
  <sheetFormatPr defaultColWidth="8.6640625" defaultRowHeight="14.4" x14ac:dyDescent="0.3"/>
  <cols>
    <col min="1" max="1" width="10.21875" bestFit="1" customWidth="1"/>
    <col min="2" max="2" width="48.21875" bestFit="1" customWidth="1"/>
    <col min="3" max="3" width="13.44140625" bestFit="1" customWidth="1"/>
    <col min="4" max="4" width="7.88671875" bestFit="1" customWidth="1"/>
    <col min="5" max="5" width="12.44140625" bestFit="1" customWidth="1"/>
    <col min="6" max="6" width="10.77734375" bestFit="1" customWidth="1"/>
    <col min="7" max="7" width="10.21875" bestFit="1" customWidth="1"/>
    <col min="9" max="9" width="19.88671875" bestFit="1" customWidth="1"/>
    <col min="10" max="10" width="6.44140625" bestFit="1" customWidth="1"/>
  </cols>
  <sheetData>
    <row r="1" spans="1:10" ht="16.8" x14ac:dyDescent="0.3">
      <c r="A1" s="8" t="s">
        <v>103</v>
      </c>
      <c r="B1" s="8"/>
      <c r="C1" s="8"/>
    </row>
    <row r="2" spans="1:10" ht="28.2" x14ac:dyDescent="0.3">
      <c r="A2" s="4" t="s">
        <v>104</v>
      </c>
      <c r="B2" s="4" t="s">
        <v>105</v>
      </c>
      <c r="C2" s="4" t="s">
        <v>106</v>
      </c>
    </row>
    <row r="3" spans="1:10" x14ac:dyDescent="0.3">
      <c r="A3" s="5" t="s">
        <v>107</v>
      </c>
      <c r="B3" s="5" t="s">
        <v>108</v>
      </c>
      <c r="C3" s="5" t="str">
        <f>INDEX(E6:E11,MATCH(MAX(F6:F11),F6:F11,0))</f>
        <v>IT</v>
      </c>
    </row>
    <row r="4" spans="1:10" ht="15.6" x14ac:dyDescent="0.3">
      <c r="A4" s="5" t="s">
        <v>109</v>
      </c>
      <c r="B4" s="5" t="s">
        <v>110</v>
      </c>
      <c r="C4" s="5">
        <f ca="1">COUNTIFS(Employees!F2:F31,"&gt;="&amp;EDATE(TODAY(),-12))</f>
        <v>3</v>
      </c>
      <c r="E4" s="9" t="s">
        <v>111</v>
      </c>
      <c r="F4" s="9"/>
      <c r="G4" s="9"/>
      <c r="I4" s="9" t="s">
        <v>112</v>
      </c>
      <c r="J4" s="9"/>
    </row>
    <row r="5" spans="1:10" ht="28.2" x14ac:dyDescent="0.3">
      <c r="A5" s="5" t="s">
        <v>113</v>
      </c>
      <c r="B5" s="5" t="s">
        <v>114</v>
      </c>
      <c r="C5" s="6">
        <f>SUMIFS(Employees!G2:G31,Employees!H2:H31,"Yes")</f>
        <v>1653000</v>
      </c>
      <c r="E5" s="4" t="s">
        <v>3</v>
      </c>
      <c r="F5" s="4" t="s">
        <v>115</v>
      </c>
      <c r="G5" s="4" t="s">
        <v>116</v>
      </c>
      <c r="I5" s="4" t="s">
        <v>4</v>
      </c>
      <c r="J5" s="4" t="s">
        <v>117</v>
      </c>
    </row>
    <row r="6" spans="1:10" x14ac:dyDescent="0.3">
      <c r="A6" s="5" t="s">
        <v>118</v>
      </c>
      <c r="B6" s="5" t="s">
        <v>119</v>
      </c>
      <c r="C6" s="5" t="str">
        <f>INDEX(I6:I32,MATCH(MAX(J6:J32),J6:J32,0))</f>
        <v>Sales Associate</v>
      </c>
      <c r="E6" s="5" t="s">
        <v>10</v>
      </c>
      <c r="F6" s="6">
        <f>AVERAGEIFS(Employees!$G$2:$G$31,Employees!$D$2:$D$31,E6)</f>
        <v>67200</v>
      </c>
      <c r="G6" s="5">
        <f>COUNTIFS(Employees!$D$2:$D$31,E6)</f>
        <v>5</v>
      </c>
      <c r="I6" s="5" t="s">
        <v>11</v>
      </c>
      <c r="J6" s="5">
        <f>COUNTIFS(Employees!$E$2:$E$31,I6)</f>
        <v>3</v>
      </c>
    </row>
    <row r="7" spans="1:10" x14ac:dyDescent="0.3">
      <c r="A7" s="5" t="s">
        <v>120</v>
      </c>
      <c r="B7" s="5" t="s">
        <v>121</v>
      </c>
      <c r="C7" s="6">
        <f>MEDIAN(Employees!G2:G31)</f>
        <v>55500</v>
      </c>
      <c r="E7" s="5" t="s">
        <v>15</v>
      </c>
      <c r="F7" s="6">
        <f>AVERAGEIFS(Employees!$G$2:$G$31,Employees!$D$2:$D$31,E7)</f>
        <v>55200</v>
      </c>
      <c r="G7" s="5">
        <f>COUNTIFS(Employees!$D$2:$D$31,E7)</f>
        <v>5</v>
      </c>
      <c r="I7" s="5" t="s">
        <v>16</v>
      </c>
      <c r="J7" s="5">
        <f>COUNTIFS(Employees!$E$2:$E$31,I7)</f>
        <v>1</v>
      </c>
    </row>
    <row r="8" spans="1:10" x14ac:dyDescent="0.3">
      <c r="E8" s="5" t="s">
        <v>19</v>
      </c>
      <c r="F8" s="6">
        <f>AVERAGEIFS(Employees!$G$2:$G$31,Employees!$D$2:$D$31,E8)</f>
        <v>71142.857142857145</v>
      </c>
      <c r="G8" s="5">
        <f>COUNTIFS(Employees!$D$2:$D$31,E8)</f>
        <v>7</v>
      </c>
      <c r="I8" s="5" t="s">
        <v>20</v>
      </c>
      <c r="J8" s="5">
        <f>COUNTIFS(Employees!$E$2:$E$31,I8)</f>
        <v>2</v>
      </c>
    </row>
    <row r="9" spans="1:10" x14ac:dyDescent="0.3">
      <c r="E9" s="5" t="s">
        <v>23</v>
      </c>
      <c r="F9" s="6">
        <f>AVERAGEIFS(Employees!$G$2:$G$31,Employees!$D$2:$D$31,E9)</f>
        <v>55500</v>
      </c>
      <c r="G9" s="5">
        <f>COUNTIFS(Employees!$D$2:$D$31,E9)</f>
        <v>4</v>
      </c>
      <c r="I9" s="5" t="s">
        <v>24</v>
      </c>
      <c r="J9" s="5">
        <f>COUNTIFS(Employees!$E$2:$E$31,I9)</f>
        <v>1</v>
      </c>
    </row>
    <row r="10" spans="1:10" x14ac:dyDescent="0.3">
      <c r="E10" s="5" t="s">
        <v>27</v>
      </c>
      <c r="F10" s="6">
        <f>AVERAGEIFS(Employees!$G$2:$G$31,Employees!$D$2:$D$31,E10)</f>
        <v>62400</v>
      </c>
      <c r="G10" s="5">
        <f>COUNTIFS(Employees!$D$2:$D$31,E10)</f>
        <v>5</v>
      </c>
      <c r="I10" s="5" t="s">
        <v>28</v>
      </c>
      <c r="J10" s="5">
        <f>COUNTIFS(Employees!$E$2:$E$31,I10)</f>
        <v>1</v>
      </c>
    </row>
    <row r="11" spans="1:10" x14ac:dyDescent="0.3">
      <c r="E11" s="5" t="s">
        <v>34</v>
      </c>
      <c r="F11" s="6">
        <f>AVERAGEIFS(Employees!$G$2:$G$31,Employees!$D$2:$D$31,E11)</f>
        <v>57250</v>
      </c>
      <c r="G11" s="5">
        <f>COUNTIFS(Employees!$D$2:$D$31,E11)</f>
        <v>4</v>
      </c>
      <c r="I11" s="5" t="s">
        <v>31</v>
      </c>
      <c r="J11" s="5">
        <f>COUNTIFS(Employees!$E$2:$E$31,I11)</f>
        <v>1</v>
      </c>
    </row>
    <row r="12" spans="1:10" x14ac:dyDescent="0.3">
      <c r="I12" s="5" t="s">
        <v>35</v>
      </c>
      <c r="J12" s="5">
        <f>COUNTIFS(Employees!$E$2:$E$31,I12)</f>
        <v>1</v>
      </c>
    </row>
    <row r="13" spans="1:10" ht="15.6" x14ac:dyDescent="0.3">
      <c r="A13" s="9" t="s">
        <v>122</v>
      </c>
      <c r="B13" s="9"/>
      <c r="C13" s="9"/>
      <c r="D13" s="9"/>
      <c r="I13" s="5" t="s">
        <v>38</v>
      </c>
      <c r="J13" s="5">
        <f>COUNTIFS(Employees!$E$2:$E$31,I13)</f>
        <v>1</v>
      </c>
    </row>
    <row r="14" spans="1:10" ht="28.2" x14ac:dyDescent="0.3">
      <c r="A14" s="4" t="s">
        <v>0</v>
      </c>
      <c r="B14" s="4" t="s">
        <v>5</v>
      </c>
      <c r="C14" s="4" t="s">
        <v>123</v>
      </c>
      <c r="D14" s="4" t="s">
        <v>124</v>
      </c>
      <c r="I14" s="5" t="s">
        <v>41</v>
      </c>
      <c r="J14" s="5">
        <f>COUNTIFS(Employees!$E$2:$E$31,I14)</f>
        <v>1</v>
      </c>
    </row>
    <row r="15" spans="1:10" x14ac:dyDescent="0.3">
      <c r="A15" s="5">
        <f>Employees!A2</f>
        <v>1001</v>
      </c>
      <c r="B15" s="7">
        <f>Employees!F2</f>
        <v>43538</v>
      </c>
      <c r="C15" s="5">
        <f t="shared" ref="C15:C44" si="0">YEAR(B15)</f>
        <v>2019</v>
      </c>
      <c r="D15" s="5">
        <f t="shared" ref="D15:D44" ca="1" si="1">DATEDIF(B15,TODAY(),"y")</f>
        <v>7</v>
      </c>
      <c r="I15" s="5" t="s">
        <v>44</v>
      </c>
      <c r="J15" s="5">
        <f>COUNTIFS(Employees!$E$2:$E$31,I15)</f>
        <v>1</v>
      </c>
    </row>
    <row r="16" spans="1:10" x14ac:dyDescent="0.3">
      <c r="A16" s="5">
        <f>Employees!A3</f>
        <v>1002</v>
      </c>
      <c r="B16" s="7">
        <f>Employees!F3</f>
        <v>44034</v>
      </c>
      <c r="C16" s="5">
        <f t="shared" si="0"/>
        <v>2020</v>
      </c>
      <c r="D16" s="5">
        <f t="shared" ca="1" si="1"/>
        <v>6</v>
      </c>
      <c r="I16" s="5" t="s">
        <v>48</v>
      </c>
      <c r="J16" s="5">
        <f>COUNTIFS(Employees!$E$2:$E$31,I16)</f>
        <v>1</v>
      </c>
    </row>
    <row r="17" spans="1:10" x14ac:dyDescent="0.3">
      <c r="A17" s="5">
        <f>Employees!A4</f>
        <v>1003</v>
      </c>
      <c r="B17" s="7">
        <f>Employees!F4</f>
        <v>43409</v>
      </c>
      <c r="C17" s="5">
        <f t="shared" si="0"/>
        <v>2018</v>
      </c>
      <c r="D17" s="5">
        <f t="shared" ca="1" si="1"/>
        <v>7</v>
      </c>
      <c r="I17" s="5" t="s">
        <v>51</v>
      </c>
      <c r="J17" s="5">
        <f>COUNTIFS(Employees!$E$2:$E$31,I17)</f>
        <v>1</v>
      </c>
    </row>
    <row r="18" spans="1:10" x14ac:dyDescent="0.3">
      <c r="A18" s="5">
        <f>Employees!A5</f>
        <v>1004</v>
      </c>
      <c r="B18" s="7">
        <f>Employees!F5</f>
        <v>42418</v>
      </c>
      <c r="C18" s="5">
        <f t="shared" si="0"/>
        <v>2016</v>
      </c>
      <c r="D18" s="5">
        <f t="shared" ca="1" si="1"/>
        <v>10</v>
      </c>
      <c r="I18" s="5" t="s">
        <v>54</v>
      </c>
      <c r="J18" s="5">
        <f>COUNTIFS(Employees!$E$2:$E$31,I18)</f>
        <v>1</v>
      </c>
    </row>
    <row r="19" spans="1:10" x14ac:dyDescent="0.3">
      <c r="A19" s="5">
        <f>Employees!A6</f>
        <v>1005</v>
      </c>
      <c r="B19" s="7">
        <f>Employees!F6</f>
        <v>44326</v>
      </c>
      <c r="C19" s="5">
        <f t="shared" si="0"/>
        <v>2021</v>
      </c>
      <c r="D19" s="5">
        <f t="shared" ca="1" si="1"/>
        <v>5</v>
      </c>
      <c r="I19" s="5" t="s">
        <v>57</v>
      </c>
      <c r="J19" s="5">
        <f>COUNTIFS(Employees!$E$2:$E$31,I19)</f>
        <v>1</v>
      </c>
    </row>
    <row r="20" spans="1:10" x14ac:dyDescent="0.3">
      <c r="A20" s="5">
        <f>Employees!A7</f>
        <v>1006</v>
      </c>
      <c r="B20" s="7">
        <f>Employees!F7</f>
        <v>44570</v>
      </c>
      <c r="C20" s="5">
        <f t="shared" si="0"/>
        <v>2022</v>
      </c>
      <c r="D20" s="5">
        <f t="shared" ca="1" si="1"/>
        <v>4</v>
      </c>
      <c r="I20" s="5" t="s">
        <v>62</v>
      </c>
      <c r="J20" s="5">
        <f>COUNTIFS(Employees!$E$2:$E$31,I20)</f>
        <v>1</v>
      </c>
    </row>
    <row r="21" spans="1:10" x14ac:dyDescent="0.3">
      <c r="A21" s="5">
        <f>Employees!A8</f>
        <v>1007</v>
      </c>
      <c r="B21" s="7">
        <f>Employees!F8</f>
        <v>43008</v>
      </c>
      <c r="C21" s="5">
        <f t="shared" si="0"/>
        <v>2017</v>
      </c>
      <c r="D21" s="5">
        <f t="shared" ca="1" si="1"/>
        <v>8</v>
      </c>
      <c r="I21" s="5" t="s">
        <v>65</v>
      </c>
      <c r="J21" s="5">
        <f>COUNTIFS(Employees!$E$2:$E$31,I21)</f>
        <v>1</v>
      </c>
    </row>
    <row r="22" spans="1:10" x14ac:dyDescent="0.3">
      <c r="A22" s="5">
        <f>Employees!A9</f>
        <v>1008</v>
      </c>
      <c r="B22" s="7">
        <f>Employees!F9</f>
        <v>42167</v>
      </c>
      <c r="C22" s="5">
        <f t="shared" si="0"/>
        <v>2015</v>
      </c>
      <c r="D22" s="5">
        <f t="shared" ca="1" si="1"/>
        <v>11</v>
      </c>
      <c r="I22" s="5" t="s">
        <v>68</v>
      </c>
      <c r="J22" s="5">
        <f>COUNTIFS(Employees!$E$2:$E$31,I22)</f>
        <v>1</v>
      </c>
    </row>
    <row r="23" spans="1:10" x14ac:dyDescent="0.3">
      <c r="A23" s="5">
        <f>Employees!A10</f>
        <v>1009</v>
      </c>
      <c r="B23" s="7">
        <f>Employees!F10</f>
        <v>44105</v>
      </c>
      <c r="C23" s="5">
        <f t="shared" si="0"/>
        <v>2020</v>
      </c>
      <c r="D23" s="5">
        <f t="shared" ca="1" si="1"/>
        <v>5</v>
      </c>
      <c r="I23" s="5" t="s">
        <v>73</v>
      </c>
      <c r="J23" s="5">
        <f>COUNTIFS(Employees!$E$2:$E$31,I23)</f>
        <v>1</v>
      </c>
    </row>
    <row r="24" spans="1:10" x14ac:dyDescent="0.3">
      <c r="A24" s="5">
        <f>Employees!A11</f>
        <v>1010</v>
      </c>
      <c r="B24" s="7">
        <f>Employees!F11</f>
        <v>45933</v>
      </c>
      <c r="C24" s="5">
        <f t="shared" si="0"/>
        <v>2025</v>
      </c>
      <c r="D24" s="5">
        <f t="shared" ca="1" si="1"/>
        <v>0</v>
      </c>
      <c r="I24" s="5" t="s">
        <v>76</v>
      </c>
      <c r="J24" s="5">
        <f>COUNTIFS(Employees!$E$2:$E$31,I24)</f>
        <v>1</v>
      </c>
    </row>
    <row r="25" spans="1:10" x14ac:dyDescent="0.3">
      <c r="A25" s="5">
        <f>Employees!A12</f>
        <v>1011</v>
      </c>
      <c r="B25" s="7">
        <f>Employees!F12</f>
        <v>43691</v>
      </c>
      <c r="C25" s="5">
        <f t="shared" si="0"/>
        <v>2019</v>
      </c>
      <c r="D25" s="5">
        <f t="shared" ca="1" si="1"/>
        <v>7</v>
      </c>
      <c r="I25" s="5" t="s">
        <v>79</v>
      </c>
      <c r="J25" s="5">
        <f>COUNTIFS(Employees!$E$2:$E$31,I25)</f>
        <v>1</v>
      </c>
    </row>
    <row r="26" spans="1:10" x14ac:dyDescent="0.3">
      <c r="A26" s="5">
        <f>Employees!A13</f>
        <v>1012</v>
      </c>
      <c r="B26" s="7">
        <f>Employees!F13</f>
        <v>44533</v>
      </c>
      <c r="C26" s="5">
        <f t="shared" si="0"/>
        <v>2021</v>
      </c>
      <c r="D26" s="5">
        <f t="shared" ca="1" si="1"/>
        <v>4</v>
      </c>
      <c r="I26" s="5" t="s">
        <v>82</v>
      </c>
      <c r="J26" s="5">
        <f>COUNTIFS(Employees!$E$2:$E$31,I26)</f>
        <v>1</v>
      </c>
    </row>
    <row r="27" spans="1:10" x14ac:dyDescent="0.3">
      <c r="A27" s="5">
        <f>Employees!A14</f>
        <v>1013</v>
      </c>
      <c r="B27" s="7">
        <f>Employees!F14</f>
        <v>43209</v>
      </c>
      <c r="C27" s="5">
        <f t="shared" si="0"/>
        <v>2018</v>
      </c>
      <c r="D27" s="5">
        <f t="shared" ca="1" si="1"/>
        <v>8</v>
      </c>
      <c r="I27" s="5" t="s">
        <v>85</v>
      </c>
      <c r="J27" s="5">
        <f>COUNTIFS(Employees!$E$2:$E$31,I27)</f>
        <v>1</v>
      </c>
    </row>
    <row r="28" spans="1:10" x14ac:dyDescent="0.3">
      <c r="A28" s="5">
        <f>Employees!A15</f>
        <v>1014</v>
      </c>
      <c r="B28" s="7">
        <f>Employees!F15</f>
        <v>42576</v>
      </c>
      <c r="C28" s="5">
        <f t="shared" si="0"/>
        <v>2016</v>
      </c>
      <c r="D28" s="5">
        <f t="shared" ca="1" si="1"/>
        <v>10</v>
      </c>
      <c r="I28" s="5" t="s">
        <v>88</v>
      </c>
      <c r="J28" s="5">
        <f>COUNTIFS(Employees!$E$2:$E$31,I28)</f>
        <v>1</v>
      </c>
    </row>
    <row r="29" spans="1:10" x14ac:dyDescent="0.3">
      <c r="A29" s="5">
        <f>Employees!A16</f>
        <v>1015</v>
      </c>
      <c r="B29" s="7">
        <f>Employees!F16</f>
        <v>44723</v>
      </c>
      <c r="C29" s="5">
        <f t="shared" si="0"/>
        <v>2022</v>
      </c>
      <c r="D29" s="5">
        <f t="shared" ca="1" si="1"/>
        <v>4</v>
      </c>
      <c r="I29" s="5" t="s">
        <v>91</v>
      </c>
      <c r="J29" s="5">
        <f>COUNTIFS(Employees!$E$2:$E$31,I29)</f>
        <v>1</v>
      </c>
    </row>
    <row r="30" spans="1:10" x14ac:dyDescent="0.3">
      <c r="A30" s="5">
        <f>Employees!A17</f>
        <v>1016</v>
      </c>
      <c r="B30" s="7">
        <f>Employees!F17</f>
        <v>43889</v>
      </c>
      <c r="C30" s="5">
        <f t="shared" si="0"/>
        <v>2020</v>
      </c>
      <c r="D30" s="5">
        <f t="shared" ca="1" si="1"/>
        <v>6</v>
      </c>
      <c r="I30" s="5" t="s">
        <v>94</v>
      </c>
      <c r="J30" s="5">
        <f>COUNTIFS(Employees!$E$2:$E$31,I30)</f>
        <v>1</v>
      </c>
    </row>
    <row r="31" spans="1:10" x14ac:dyDescent="0.3">
      <c r="A31" s="5">
        <f>Employees!A18</f>
        <v>1017</v>
      </c>
      <c r="B31" s="7">
        <f>Employees!F18</f>
        <v>46067</v>
      </c>
      <c r="C31" s="5">
        <f t="shared" si="0"/>
        <v>2026</v>
      </c>
      <c r="D31" s="5">
        <f t="shared" ca="1" si="1"/>
        <v>0</v>
      </c>
      <c r="I31" s="5" t="s">
        <v>99</v>
      </c>
      <c r="J31" s="5">
        <f>COUNTIFS(Employees!$E$2:$E$31,I31)</f>
        <v>1</v>
      </c>
    </row>
    <row r="32" spans="1:10" x14ac:dyDescent="0.3">
      <c r="A32" s="5">
        <f>Employees!A19</f>
        <v>1018</v>
      </c>
      <c r="B32" s="7">
        <f>Employees!F19</f>
        <v>44942</v>
      </c>
      <c r="C32" s="5">
        <f t="shared" si="0"/>
        <v>2023</v>
      </c>
      <c r="D32" s="5">
        <f t="shared" ca="1" si="1"/>
        <v>3</v>
      </c>
      <c r="I32" s="5" t="s">
        <v>102</v>
      </c>
      <c r="J32" s="5">
        <f>COUNTIFS(Employees!$E$2:$E$31,I32)</f>
        <v>1</v>
      </c>
    </row>
    <row r="33" spans="1:4" x14ac:dyDescent="0.3">
      <c r="A33" s="5">
        <f>Employees!A20</f>
        <v>1019</v>
      </c>
      <c r="B33" s="7">
        <f>Employees!F20</f>
        <v>43608</v>
      </c>
      <c r="C33" s="5">
        <f t="shared" si="0"/>
        <v>2019</v>
      </c>
      <c r="D33" s="5">
        <f t="shared" ca="1" si="1"/>
        <v>7</v>
      </c>
    </row>
    <row r="34" spans="1:4" x14ac:dyDescent="0.3">
      <c r="A34" s="5">
        <f>Employees!A21</f>
        <v>1020</v>
      </c>
      <c r="B34" s="7">
        <f>Employees!F21</f>
        <v>42803</v>
      </c>
      <c r="C34" s="5">
        <f t="shared" si="0"/>
        <v>2017</v>
      </c>
      <c r="D34" s="5">
        <f t="shared" ca="1" si="1"/>
        <v>9</v>
      </c>
    </row>
    <row r="35" spans="1:4" x14ac:dyDescent="0.3">
      <c r="A35" s="5">
        <f>Employees!A22</f>
        <v>1021</v>
      </c>
      <c r="B35" s="7">
        <f>Employees!F22</f>
        <v>41598</v>
      </c>
      <c r="C35" s="5">
        <f t="shared" si="0"/>
        <v>2013</v>
      </c>
      <c r="D35" s="5">
        <f t="shared" ca="1" si="1"/>
        <v>12</v>
      </c>
    </row>
    <row r="36" spans="1:4" x14ac:dyDescent="0.3">
      <c r="A36" s="5">
        <f>Employees!A23</f>
        <v>1022</v>
      </c>
      <c r="B36" s="7">
        <f>Employees!F23</f>
        <v>42615</v>
      </c>
      <c r="C36" s="5">
        <f t="shared" si="0"/>
        <v>2016</v>
      </c>
      <c r="D36" s="5">
        <f t="shared" ca="1" si="1"/>
        <v>10</v>
      </c>
    </row>
    <row r="37" spans="1:4" x14ac:dyDescent="0.3">
      <c r="A37" s="5">
        <f>Employees!A24</f>
        <v>1023</v>
      </c>
      <c r="B37" s="7">
        <f>Employees!F24</f>
        <v>46174</v>
      </c>
      <c r="C37" s="5">
        <f t="shared" si="0"/>
        <v>2026</v>
      </c>
      <c r="D37" s="5">
        <f t="shared" ca="1" si="1"/>
        <v>0</v>
      </c>
    </row>
    <row r="38" spans="1:4" x14ac:dyDescent="0.3">
      <c r="A38" s="5">
        <f>Employees!A25</f>
        <v>1024</v>
      </c>
      <c r="B38" s="7">
        <f>Employees!F25</f>
        <v>45117</v>
      </c>
      <c r="C38" s="5">
        <f t="shared" si="0"/>
        <v>2023</v>
      </c>
      <c r="D38" s="5">
        <f t="shared" ca="1" si="1"/>
        <v>3</v>
      </c>
    </row>
    <row r="39" spans="1:4" x14ac:dyDescent="0.3">
      <c r="A39" s="5">
        <f>Employees!A26</f>
        <v>1025</v>
      </c>
      <c r="B39" s="7">
        <f>Employees!F26</f>
        <v>43493</v>
      </c>
      <c r="C39" s="5">
        <f t="shared" si="0"/>
        <v>2019</v>
      </c>
      <c r="D39" s="5">
        <f t="shared" ca="1" si="1"/>
        <v>7</v>
      </c>
    </row>
    <row r="40" spans="1:4" x14ac:dyDescent="0.3">
      <c r="A40" s="5">
        <f>Employees!A27</f>
        <v>1026</v>
      </c>
      <c r="B40" s="7">
        <f>Employees!F27</f>
        <v>43956</v>
      </c>
      <c r="C40" s="5">
        <f t="shared" si="0"/>
        <v>2020</v>
      </c>
      <c r="D40" s="5">
        <f t="shared" ca="1" si="1"/>
        <v>6</v>
      </c>
    </row>
    <row r="41" spans="1:4" x14ac:dyDescent="0.3">
      <c r="A41" s="5">
        <f>Employees!A28</f>
        <v>1027</v>
      </c>
      <c r="B41" s="7">
        <f>Employees!F28</f>
        <v>44818</v>
      </c>
      <c r="C41" s="5">
        <f t="shared" si="0"/>
        <v>2022</v>
      </c>
      <c r="D41" s="5">
        <f t="shared" ca="1" si="1"/>
        <v>4</v>
      </c>
    </row>
    <row r="42" spans="1:4" x14ac:dyDescent="0.3">
      <c r="A42" s="5">
        <f>Employees!A29</f>
        <v>1028</v>
      </c>
      <c r="B42" s="7">
        <f>Employees!F29</f>
        <v>44530</v>
      </c>
      <c r="C42" s="5">
        <f t="shared" si="0"/>
        <v>2021</v>
      </c>
      <c r="D42" s="5">
        <f t="shared" ca="1" si="1"/>
        <v>4</v>
      </c>
    </row>
    <row r="43" spans="1:4" x14ac:dyDescent="0.3">
      <c r="A43" s="5">
        <f>Employees!A30</f>
        <v>1029</v>
      </c>
      <c r="B43" s="7">
        <f>Employees!F30</f>
        <v>43456</v>
      </c>
      <c r="C43" s="5">
        <f t="shared" si="0"/>
        <v>2018</v>
      </c>
      <c r="D43" s="5">
        <f t="shared" ca="1" si="1"/>
        <v>7</v>
      </c>
    </row>
    <row r="44" spans="1:4" x14ac:dyDescent="0.3">
      <c r="A44" s="5">
        <f>Employees!A31</f>
        <v>1030</v>
      </c>
      <c r="B44" s="7">
        <f>Employees!F31</f>
        <v>44062</v>
      </c>
      <c r="C44" s="5">
        <f t="shared" si="0"/>
        <v>2020</v>
      </c>
      <c r="D44" s="5">
        <f t="shared" ca="1" si="1"/>
        <v>6</v>
      </c>
    </row>
  </sheetData>
  <mergeCells count="4">
    <mergeCell ref="A1:C1"/>
    <mergeCell ref="E4:G4"/>
    <mergeCell ref="I4:J4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Jeevana Mangineni</dc:creator>
  <dc:description/>
  <cp:lastModifiedBy>Jeevana Mangineni</cp:lastModifiedBy>
  <cp:revision>0</cp:revision>
  <dcterms:created xsi:type="dcterms:W3CDTF">2026-09-13T14:23:57Z</dcterms:created>
  <dcterms:modified xsi:type="dcterms:W3CDTF">2026-09-14T05:18:04Z</dcterms:modified>
  <dc:language>en-US</dc:language>
</cp:coreProperties>
</file>